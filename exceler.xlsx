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3\Desktop\"/>
    </mc:Choice>
  </mc:AlternateContent>
  <xr:revisionPtr revIDLastSave="0" documentId="8_{BAED6399-25C8-4FBC-91C3-F8434A7C5F40}" xr6:coauthVersionLast="47" xr6:coauthVersionMax="47" xr10:uidLastSave="{00000000-0000-0000-0000-000000000000}"/>
  <bookViews>
    <workbookView xWindow="-108" yWindow="-108" windowWidth="23256" windowHeight="12456" xr2:uid="{EF150124-3C03-4219-80F5-C05E7A5C6A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30" i="1"/>
  <c r="B37" i="1"/>
  <c r="B31" i="1"/>
  <c r="B36" i="1"/>
  <c r="B35" i="1"/>
  <c r="B34" i="1"/>
  <c r="B33" i="1"/>
  <c r="B32" i="1"/>
  <c r="E3" i="1" a="1"/>
  <c r="E3" i="1" s="1"/>
  <c r="E4" i="1" a="1"/>
  <c r="E4" i="1" s="1"/>
  <c r="E5" i="1" a="1"/>
  <c r="E5" i="1"/>
  <c r="E6" i="1" a="1"/>
  <c r="E6" i="1"/>
  <c r="E7" i="1" a="1"/>
  <c r="E7" i="1"/>
  <c r="E8" i="1" a="1"/>
  <c r="E8" i="1"/>
  <c r="E9" i="1" a="1"/>
  <c r="E9" i="1" s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 s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 s="1"/>
  <c r="E22" i="1" a="1"/>
  <c r="E22" i="1"/>
  <c r="E23" i="1" a="1"/>
  <c r="E23" i="1"/>
  <c r="E24" i="1" a="1"/>
  <c r="E24" i="1"/>
  <c r="E25" i="1" a="1"/>
  <c r="E25" i="1"/>
  <c r="E26" i="1" a="1"/>
  <c r="E26" i="1"/>
  <c r="C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C22" i="1"/>
  <c r="C26" i="1"/>
  <c r="C25" i="1"/>
  <c r="C24" i="1"/>
  <c r="C23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E2" i="1"/>
  <c r="E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<sst xmlns="http://schemas.openxmlformats.org/spreadsheetml/2006/main" count="54" uniqueCount="44">
  <si>
    <t>salary</t>
  </si>
  <si>
    <t xml:space="preserve">rating </t>
  </si>
  <si>
    <t>total salary</t>
  </si>
  <si>
    <t>rating</t>
  </si>
  <si>
    <t>percentage</t>
  </si>
  <si>
    <t>bonus IFS</t>
  </si>
  <si>
    <t>bonus nested if</t>
  </si>
  <si>
    <t>sum  total</t>
  </si>
  <si>
    <t>average bonus</t>
  </si>
  <si>
    <t>average total</t>
  </si>
  <si>
    <t>min bonus</t>
  </si>
  <si>
    <t>min total</t>
  </si>
  <si>
    <t>max bonus</t>
  </si>
  <si>
    <t xml:space="preserve">max total </t>
  </si>
  <si>
    <t>sum bonus</t>
  </si>
  <si>
    <t>value</t>
  </si>
  <si>
    <t>topic</t>
  </si>
  <si>
    <t>employe</t>
  </si>
  <si>
    <t>jon</t>
  </si>
  <si>
    <t>mary</t>
  </si>
  <si>
    <t>alex</t>
  </si>
  <si>
    <t>sara</t>
  </si>
  <si>
    <t>david</t>
  </si>
  <si>
    <t>emma</t>
  </si>
  <si>
    <t>rahul</t>
  </si>
  <si>
    <t>priya</t>
  </si>
  <si>
    <t>sales</t>
  </si>
  <si>
    <t>it</t>
  </si>
  <si>
    <t>hr</t>
  </si>
  <si>
    <t>east</t>
  </si>
  <si>
    <t>west</t>
  </si>
  <si>
    <t>south</t>
  </si>
  <si>
    <t>north</t>
  </si>
  <si>
    <t>department</t>
  </si>
  <si>
    <t>year</t>
  </si>
  <si>
    <t>target</t>
  </si>
  <si>
    <t>profit</t>
  </si>
  <si>
    <t xml:space="preserve">sum if </t>
  </si>
  <si>
    <t>maxif</t>
  </si>
  <si>
    <t>MAX YEAR</t>
  </si>
  <si>
    <t xml:space="preserve">MAX SALES </t>
  </si>
  <si>
    <t>REGION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</si>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</sst>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4" fontId="0" fillId="2" borderId="0" xfId="0" applyNumberFormat="1" applyFill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8">
    <dxf>
      <numFmt numFmtId="14" formatCode="0.00%"/>
    </dxf>
    <dxf>
      <fill>
        <patternFill patternType="solid">
          <fgColor indexed="64"/>
          <bgColor rgb="FFFFFF00"/>
        </patternFill>
      </fill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B24C4-F925-4A08-84BD-67F41DB01B5C}" name="Table1" displayName="Table1" ref="A29:B37" totalsRowShown="0" dataDxfId="5">
  <autoFilter ref="A29:B37" xr:uid="{4E8B24C4-F925-4A08-84BD-67F41DB01B5C}"/>
  <tableColumns count="2">
    <tableColumn id="1" xr3:uid="{F8B8D42B-C23F-41F4-8869-848186267371}" name="topic" dataDxfId="7"/>
    <tableColumn id="2" xr3:uid="{5F4098D6-D485-4B7A-9248-8ADB5C3CBE78}" name="valu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F5C60-E6EC-4CED-81B1-AD420A7BE302}" name="Table4" displayName="Table4" ref="A1:E26" totalsRowShown="0" headerRowDxfId="1">
  <autoFilter ref="A1:E26" xr:uid="{B3FF5C60-E6EC-4CED-81B1-AD420A7BE302}"/>
  <tableColumns count="5">
    <tableColumn id="1" xr3:uid="{F7F09711-8274-417B-9BBD-CC6C0D68E834}" name="salary" dataDxfId="3"/>
    <tableColumn id="2" xr3:uid="{1109FD7F-BC59-4154-828B-0F92DA29D9D9}" name="rating "/>
    <tableColumn id="3" xr3:uid="{507DE845-7464-4BDF-BA85-2213DD9992B5}" name="bonus nested if">
      <calculatedColumnFormula>IF(B2=G$14,A2*H$14,IF(B2=G$15,A2*H$15,IF(B2=G$16,A2*H$16,IF(B2=G$17,A2*H$17,IF(B2=G$18,A2*H$18)))))</calculatedColumnFormula>
    </tableColumn>
    <tableColumn id="4" xr3:uid="{8047AA49-CF9A-4A5B-B711-8C5D6FAA6072}" name="total salary" dataDxfId="2">
      <calculatedColumnFormula>SUM(C2,A2)</calculatedColumnFormula>
    </tableColumn>
    <tableColumn id="5" xr3:uid="{02A5A79E-158E-485E-8575-66ECFE038EC7}" name="bonus IFS">
      <calculatedColumnFormula array="1">_xlfn.IFS(B2=G$14,A2*H$14,B2=G$15,A2*H$15,B2=G$16,A2*H$16,B2=G$17,A2*H$17,B2=G$18,A2*H$18)</calculatedColumnFormula>
    </tableColumn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6F08F9-CFA1-48ED-B0F5-5068F07DA6BE}" name="Table5" displayName="Table5" ref="G13:H18" totalsRowShown="0">
  <autoFilter ref="G13:H18" xr:uid="{446F08F9-CFA1-48ED-B0F5-5068F07DA6BE}"/>
  <tableColumns count="2">
    <tableColumn id="1" xr3:uid="{62145595-377E-40C5-A3A4-E5808670CC07}" name="rating"/>
    <tableColumn id="2" xr3:uid="{C9F4C760-E86C-47EE-BA8D-6EF02EE73F67}" name="percentage" dataDxfId="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65DC6-25BA-4C3A-AD40-FCB9E01B25ED}" name="Table2" displayName="Table2" ref="A13:B17" totalsRowShown="0">
  <autoFilter ref="A13:B17" xr:uid="{97165DC6-25BA-4C3A-AD40-FCB9E01B25ED}"/>
  <tableColumns count="2">
    <tableColumn id="1" xr3:uid="{AD76561E-28BD-4EE0-8EC8-A5E90645FCD2}" name="Column1"/>
    <tableColumn id="2" xr3:uid="{46EE76DC-06EA-4673-AD89-07DAA3AE780C}" name="Column2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65D35A-F1D6-4B02-B9AE-EF6FE6DDC6DD}" name="Table3" displayName="Table3" ref="A1:G9" totalsRowShown="0" headerRowDxfId="4">
  <autoFilter ref="A1:G9" xr:uid="{8D65D35A-F1D6-4B02-B9AE-EF6FE6DDC6DD}"/>
  <tableColumns count="7">
    <tableColumn id="1" xr3:uid="{1624727E-9A7C-4947-9633-B5CA8667D437}" name="employe"/>
    <tableColumn id="2" xr3:uid="{480E013D-164A-43E5-BE3E-46DD187DFA9F}" name="department"/>
    <tableColumn id="3" xr3:uid="{6875373D-AAD2-4629-8BAC-4CCDA0B47DA7}" name="year"/>
    <tableColumn id="4" xr3:uid="{289A847E-FF45-4BC0-9363-C5FCB251FEEF}" name="sales"/>
    <tableColumn id="5" xr3:uid="{F30E871E-AFA4-48D4-BC87-35AA43246BF6}" name="target"/>
    <tableColumn id="6" xr3:uid="{645ACCFE-A19A-4F98-8E47-44BB841E90D7}" name="profit"/>
    <tableColumn id="7" xr3:uid="{8FA01391-495F-4E2C-A24E-83C37081F46E}" name="REGION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46FB-57AF-4155-BD9A-59D73F08F0CD}">
  <dimension ref="A1:H37"/>
  <sheetViews>
    <sheetView tabSelected="1" zoomScale="85" zoomScaleNormal="85" workbookViewId="0">
      <selection activeCell="N7" sqref="N7"/>
    </sheetView>
  </sheetViews>
  <sheetFormatPr defaultRowHeight="14.4" x14ac:dyDescent="0.3"/>
  <cols>
    <col min="1" max="1" width="14.33203125" style="3" customWidth="1"/>
    <col min="2" max="2" width="13.6640625" customWidth="1"/>
    <col min="3" max="3" width="16.5546875" customWidth="1"/>
    <col min="4" max="4" width="23.77734375" customWidth="1"/>
    <col min="5" max="5" width="11.33203125" customWidth="1"/>
    <col min="8" max="8" width="12.88671875" customWidth="1"/>
  </cols>
  <sheetData>
    <row r="1" spans="1:8" x14ac:dyDescent="0.3">
      <c r="A1" s="2" t="s">
        <v>0</v>
      </c>
      <c r="B1" s="1" t="s">
        <v>1</v>
      </c>
      <c r="C1" s="1" t="s">
        <v>6</v>
      </c>
      <c r="D1" s="1" t="s">
        <v>2</v>
      </c>
      <c r="E1" s="1" t="s">
        <v>5</v>
      </c>
    </row>
    <row r="2" spans="1:8" x14ac:dyDescent="0.3">
      <c r="A2" s="3">
        <v>100000</v>
      </c>
      <c r="B2">
        <v>3</v>
      </c>
      <c r="C2">
        <f>IF(B2=G$14,A2*H$14,IF(B2=G$15,A2*H$15,IF(B2=G$16,A2*H$16,IF(B2=G$17,A2*H$17,IF(B2=G$18,A2*H$18)))))</f>
        <v>5000</v>
      </c>
      <c r="D2" s="3">
        <f>SUM(C2,A2)</f>
        <v>105000</v>
      </c>
      <c r="E2" cm="1">
        <f t="array" aca="1" ref="E2" ca="1">+F27+E2:E18+E2:E20+F27+E2:E18+E2:E22+E2:E21+E2:E20+E2:E19+E2:E20+E2:E22+E2:E20</f>
        <v>0</v>
      </c>
    </row>
    <row r="3" spans="1:8" x14ac:dyDescent="0.3">
      <c r="A3" s="3">
        <v>300000</v>
      </c>
      <c r="B3">
        <v>4</v>
      </c>
      <c r="C3">
        <f t="shared" ref="C3:C26" si="0">IF(B3=G$14,A3*H$14,IF(B3=G$15,A3*H$15,IF(B3=G$16,A3*H$16,IF(B3=G$17,A3*H$17,IF(B3=G$18,A3*H$18)))))</f>
        <v>30000</v>
      </c>
      <c r="D3" s="3">
        <f t="shared" ref="D3:D26" si="1">SUM(C3,A3)</f>
        <v>330000</v>
      </c>
      <c r="E3" cm="1">
        <f t="array" ref="E3">_xlfn.IFS(B3=G$14,A3*H$14,B3=G$15,A3*H$15,B3=G$16,A3*H$16,B3=G$17,A3*H$17,B3=G$18,A3*H$18)</f>
        <v>30000</v>
      </c>
    </row>
    <row r="4" spans="1:8" x14ac:dyDescent="0.3">
      <c r="A4" s="3">
        <v>360000</v>
      </c>
      <c r="B4">
        <v>5</v>
      </c>
      <c r="C4">
        <f t="shared" si="0"/>
        <v>64800</v>
      </c>
      <c r="D4" s="3">
        <f t="shared" si="1"/>
        <v>424800</v>
      </c>
      <c r="E4" cm="1">
        <f t="array" ref="E4">_xlfn.IFS(B4=G$14,A4*H$14,B4=G$15,A4*H$15,B4=G$16,A4*H$16,B4=G$17,A4*H$17,B4=G$18,A4*H$18)</f>
        <v>64800</v>
      </c>
    </row>
    <row r="5" spans="1:8" x14ac:dyDescent="0.3">
      <c r="A5" s="3">
        <v>400000</v>
      </c>
      <c r="B5">
        <v>3</v>
      </c>
      <c r="C5">
        <f t="shared" si="0"/>
        <v>20000</v>
      </c>
      <c r="D5" s="3">
        <f t="shared" si="1"/>
        <v>420000</v>
      </c>
      <c r="E5" cm="1">
        <f t="array" ref="E5">_xlfn.IFS(B5=G$14,A5*H$14,B5=G$15,A5*H$15,B5=G$16,A5*H$16,B5=G$17,A5*H$17,B5=G$18,A5*H$18)</f>
        <v>20000</v>
      </c>
    </row>
    <row r="6" spans="1:8" x14ac:dyDescent="0.3">
      <c r="A6" s="3">
        <v>600000</v>
      </c>
      <c r="B6" s="5">
        <v>4</v>
      </c>
      <c r="C6">
        <f t="shared" si="0"/>
        <v>60000</v>
      </c>
      <c r="D6" s="3">
        <f t="shared" si="1"/>
        <v>660000</v>
      </c>
      <c r="E6" cm="1">
        <f t="array" ref="E6">_xlfn.IFS(B6=G$14,A6*H$14,B6=G$15,A6*H$15,B6=G$16,A6*H$16,B6=G$17,A6*H$17,B6=G$18,A6*H$18)</f>
        <v>60000</v>
      </c>
    </row>
    <row r="7" spans="1:8" x14ac:dyDescent="0.3">
      <c r="A7" s="3">
        <v>300000</v>
      </c>
      <c r="B7">
        <v>5</v>
      </c>
      <c r="C7">
        <f t="shared" si="0"/>
        <v>54000</v>
      </c>
      <c r="D7" s="3">
        <f t="shared" si="1"/>
        <v>354000</v>
      </c>
      <c r="E7" cm="1">
        <f t="array" ref="E7">_xlfn.IFS(B7=G$14,A7*H$14,B7=G$15,A7*H$15,B7=G$16,A7*H$16,B7=G$17,A7*H$17,B7=G$18,A7*H$18)</f>
        <v>54000</v>
      </c>
    </row>
    <row r="8" spans="1:8" x14ac:dyDescent="0.3">
      <c r="A8" s="3">
        <v>450000</v>
      </c>
      <c r="B8">
        <v>3</v>
      </c>
      <c r="C8">
        <f t="shared" si="0"/>
        <v>22500</v>
      </c>
      <c r="D8" s="3">
        <f t="shared" si="1"/>
        <v>472500</v>
      </c>
      <c r="E8" cm="1">
        <f t="array" ref="E8">_xlfn.IFS(B8=G$14,A8*H$14,B8=G$15,A8*H$15,B8=G$16,A8*H$16,B8=G$17,A8*H$17,B8=G$18,A8*H$18)</f>
        <v>22500</v>
      </c>
    </row>
    <row r="9" spans="1:8" x14ac:dyDescent="0.3">
      <c r="A9" s="3">
        <v>300000</v>
      </c>
      <c r="B9">
        <v>2</v>
      </c>
      <c r="C9">
        <f t="shared" si="0"/>
        <v>9000</v>
      </c>
      <c r="D9" s="3">
        <f t="shared" si="1"/>
        <v>309000</v>
      </c>
      <c r="E9" cm="1">
        <f t="array" ref="E9">_xlfn.IFS(B9=G$14,A9*H$14,B9=G$15,A9*H$15,B9=G$16,A9*H$16,B9=G$17,A9*H$17,B9=G$18,A9*H$18)</f>
        <v>9000</v>
      </c>
    </row>
    <row r="10" spans="1:8" x14ac:dyDescent="0.3">
      <c r="A10" s="3">
        <v>400000</v>
      </c>
      <c r="B10">
        <v>1</v>
      </c>
      <c r="C10">
        <f t="shared" si="0"/>
        <v>8000</v>
      </c>
      <c r="D10" s="3">
        <f t="shared" si="1"/>
        <v>408000</v>
      </c>
      <c r="E10" cm="1">
        <f t="array" ref="E10">_xlfn.IFS(B10=G$14,A10*H$14,B10=G$15,A10*H$15,B10=G$16,A10*H$16,B10=G$17,A10*H$17,B10=G$18,A10*H$18)</f>
        <v>8000</v>
      </c>
    </row>
    <row r="11" spans="1:8" x14ac:dyDescent="0.3">
      <c r="A11" s="3">
        <v>500000</v>
      </c>
      <c r="B11">
        <v>2</v>
      </c>
      <c r="C11">
        <f t="shared" si="0"/>
        <v>15000</v>
      </c>
      <c r="D11" s="3">
        <f t="shared" si="1"/>
        <v>515000</v>
      </c>
      <c r="E11" cm="1">
        <f t="array" ref="E11">_xlfn.IFS(B11=G$14,A11*H$14,B11=G$15,A11*H$15,B11=G$16,A11*H$16,B11=G$17,A11*H$17,B11=G$18,A11*H$18)</f>
        <v>15000</v>
      </c>
    </row>
    <row r="12" spans="1:8" x14ac:dyDescent="0.3">
      <c r="A12" s="3">
        <v>600000</v>
      </c>
      <c r="B12">
        <v>4</v>
      </c>
      <c r="C12">
        <f t="shared" si="0"/>
        <v>60000</v>
      </c>
      <c r="D12" s="3">
        <f t="shared" si="1"/>
        <v>660000</v>
      </c>
      <c r="E12" cm="1">
        <f t="array" ref="E12">_xlfn.IFS(B12=G$14,A12*H$14,B12=G$15,A12*H$15,B12=G$16,A12*H$16,B12=G$17,A12*H$17,B12=G$18,A12*H$18)</f>
        <v>60000</v>
      </c>
    </row>
    <row r="13" spans="1:8" x14ac:dyDescent="0.3">
      <c r="A13" s="3">
        <v>350000</v>
      </c>
      <c r="B13">
        <v>1</v>
      </c>
      <c r="C13">
        <f t="shared" si="0"/>
        <v>7000</v>
      </c>
      <c r="D13" s="3">
        <f t="shared" si="1"/>
        <v>357000</v>
      </c>
      <c r="E13" cm="1">
        <f t="array" ref="E13">_xlfn.IFS(B13=G$14,A13*H$14,B13=G$15,A13*H$15,B13=G$16,A13*H$16,B13=G$17,A13*H$17,B13=G$18,A13*H$18)</f>
        <v>7000</v>
      </c>
      <c r="G13" t="s">
        <v>3</v>
      </c>
      <c r="H13" t="s">
        <v>4</v>
      </c>
    </row>
    <row r="14" spans="1:8" x14ac:dyDescent="0.3">
      <c r="A14" s="3">
        <v>400000</v>
      </c>
      <c r="B14">
        <v>3</v>
      </c>
      <c r="C14">
        <f t="shared" si="0"/>
        <v>20000</v>
      </c>
      <c r="D14" s="3">
        <f t="shared" si="1"/>
        <v>420000</v>
      </c>
      <c r="E14" cm="1">
        <f t="array" ref="E14">_xlfn.IFS(B14=G$14,A14*H$14,B14=G$15,A14*H$15,B14=G$16,A14*H$16,B14=G$17,A14*H$17,B14=G$18,A14*H$18)</f>
        <v>20000</v>
      </c>
      <c r="G14">
        <v>1</v>
      </c>
      <c r="H14" s="4">
        <v>0.02</v>
      </c>
    </row>
    <row r="15" spans="1:8" x14ac:dyDescent="0.3">
      <c r="A15" s="3">
        <v>550000</v>
      </c>
      <c r="B15">
        <v>3</v>
      </c>
      <c r="C15">
        <f t="shared" si="0"/>
        <v>27500</v>
      </c>
      <c r="D15" s="3">
        <f t="shared" si="1"/>
        <v>577500</v>
      </c>
      <c r="E15" cm="1">
        <f t="array" ref="E15">_xlfn.IFS(B15=G$14,A15*H$14,B15=G$15,A15*H$15,B15=G$16,A15*H$16,B15=G$17,A15*H$17,B15=G$18,A15*H$18)</f>
        <v>27500</v>
      </c>
      <c r="G15">
        <v>2</v>
      </c>
      <c r="H15" s="4">
        <v>0.03</v>
      </c>
    </row>
    <row r="16" spans="1:8" x14ac:dyDescent="0.3">
      <c r="A16" s="3">
        <v>900000</v>
      </c>
      <c r="B16">
        <v>2</v>
      </c>
      <c r="C16">
        <f t="shared" si="0"/>
        <v>27000</v>
      </c>
      <c r="D16" s="3">
        <f t="shared" si="1"/>
        <v>927000</v>
      </c>
      <c r="E16" cm="1">
        <f t="array" ref="E16">_xlfn.IFS(B16=G$14,A16*H$14,B16=G$15,A16*H$15,B16=G$16,A16*H$16,B16=G$17,A16*H$17,B16=G$18,A16*H$18)</f>
        <v>27000</v>
      </c>
      <c r="G16">
        <v>3</v>
      </c>
      <c r="H16" s="4">
        <v>0.05</v>
      </c>
    </row>
    <row r="17" spans="1:8" x14ac:dyDescent="0.3">
      <c r="A17" s="3">
        <v>400000</v>
      </c>
      <c r="B17">
        <v>4</v>
      </c>
      <c r="C17">
        <f t="shared" si="0"/>
        <v>40000</v>
      </c>
      <c r="D17" s="3">
        <f t="shared" si="1"/>
        <v>440000</v>
      </c>
      <c r="E17" cm="1">
        <f t="array" ref="E17">_xlfn.IFS(B17=G$14,A17*H$14,B17=G$15,A17*H$15,B17=G$16,A17*H$16,B17=G$17,A17*H$17,B17=G$18,A17*H$18)</f>
        <v>40000</v>
      </c>
      <c r="G17">
        <v>4</v>
      </c>
      <c r="H17" s="4">
        <v>0.1</v>
      </c>
    </row>
    <row r="18" spans="1:8" x14ac:dyDescent="0.3">
      <c r="A18" s="3">
        <v>450000</v>
      </c>
      <c r="B18">
        <v>3</v>
      </c>
      <c r="C18">
        <f t="shared" si="0"/>
        <v>22500</v>
      </c>
      <c r="D18" s="3">
        <f t="shared" si="1"/>
        <v>472500</v>
      </c>
      <c r="E18" cm="1">
        <f t="array" ref="E18">_xlfn.IFS(B18=G$14,A18*H$14,B18=G$15,A18*H$15,B18=G$16,A18*H$16,B18=G$17,A18*H$17,B18=G$18,A18*H$18)</f>
        <v>22500</v>
      </c>
      <c r="G18">
        <v>5</v>
      </c>
      <c r="H18" s="4">
        <v>0.18</v>
      </c>
    </row>
    <row r="19" spans="1:8" x14ac:dyDescent="0.3">
      <c r="A19" s="3">
        <v>800000</v>
      </c>
      <c r="B19">
        <v>2</v>
      </c>
      <c r="C19">
        <f t="shared" si="0"/>
        <v>24000</v>
      </c>
      <c r="D19" s="3">
        <f t="shared" si="1"/>
        <v>824000</v>
      </c>
      <c r="E19" cm="1">
        <f t="array" ref="E19">_xlfn.IFS(B19=G$14,A19*H$14,B19=G$15,A19*H$15,B19=G$16,A19*H$16,B19=G$17,A19*H$17,B19=G$18,A19*H$18)</f>
        <v>24000</v>
      </c>
    </row>
    <row r="20" spans="1:8" x14ac:dyDescent="0.3">
      <c r="A20" s="3">
        <v>600000</v>
      </c>
      <c r="B20">
        <v>5</v>
      </c>
      <c r="C20">
        <f t="shared" si="0"/>
        <v>108000</v>
      </c>
      <c r="D20" s="3">
        <f t="shared" si="1"/>
        <v>708000</v>
      </c>
      <c r="E20" cm="1">
        <f t="array" ref="E20">_xlfn.IFS(B20=G$14,A20*H$14,B20=G$15,A20*H$15,B20=G$16,A20*H$16,B20=G$17,A20*H$17,B20=G$18,A20*H$18)</f>
        <v>108000</v>
      </c>
    </row>
    <row r="21" spans="1:8" x14ac:dyDescent="0.3">
      <c r="A21" s="3">
        <v>500000</v>
      </c>
      <c r="B21">
        <v>4</v>
      </c>
      <c r="C21">
        <f t="shared" si="0"/>
        <v>50000</v>
      </c>
      <c r="D21" s="3">
        <f t="shared" si="1"/>
        <v>550000</v>
      </c>
      <c r="E21" cm="1">
        <f t="array" ref="E21">_xlfn.IFS(B21=G$14,A21*H$14,B21=G$15,A21*H$15,B21=G$16,A21*H$16,B21=G$17,A21*H$17,B21=G$18,A21*H$18)</f>
        <v>50000</v>
      </c>
    </row>
    <row r="22" spans="1:8" x14ac:dyDescent="0.3">
      <c r="A22" s="3">
        <v>900000</v>
      </c>
      <c r="B22">
        <v>0</v>
      </c>
      <c r="C22" s="5" t="b">
        <f>IF(B22=G$14,A22*H$14,IF(B22=G$15,A22*H$15,IF(B22=G$16,A22*H$16,IF(B22=G$17,A22*H$17,IF(B22=G$18,A22*H$18)))))</f>
        <v>0</v>
      </c>
      <c r="D22" s="3">
        <f t="shared" si="1"/>
        <v>900000</v>
      </c>
      <c r="E22" t="e" cm="1">
        <f t="array" ref="E22">_xlfn.IFS(B22=G$14,A22*H$14,B22=G$15,A22*H$15,B22=G$16,A22*H$16,B22=G$17,A22*H$17,B22=G$18,A22*H$18)</f>
        <v>#N/A</v>
      </c>
    </row>
    <row r="23" spans="1:8" x14ac:dyDescent="0.3">
      <c r="A23" s="3">
        <v>480000</v>
      </c>
      <c r="B23">
        <v>2</v>
      </c>
      <c r="C23">
        <f t="shared" si="0"/>
        <v>14400</v>
      </c>
      <c r="D23" s="3">
        <f t="shared" si="1"/>
        <v>494400</v>
      </c>
      <c r="E23" cm="1">
        <f t="array" ref="E23">_xlfn.IFS(B23=G$14,A23*H$14,B23=G$15,A23*H$15,B23=G$16,A23*H$16,B23=G$17,A23*H$17,B23=G$18,A23*H$18)</f>
        <v>14400</v>
      </c>
    </row>
    <row r="24" spans="1:8" x14ac:dyDescent="0.3">
      <c r="A24" s="3">
        <v>300000</v>
      </c>
      <c r="B24">
        <v>1</v>
      </c>
      <c r="C24">
        <f t="shared" si="0"/>
        <v>6000</v>
      </c>
      <c r="D24" s="3">
        <f t="shared" si="1"/>
        <v>306000</v>
      </c>
      <c r="E24" cm="1">
        <f t="array" ref="E24">_xlfn.IFS(B24=G$14,A24*H$14,B24=G$15,A24*H$15,B24=G$16,A24*H$16,B24=G$17,A24*H$17,B24=G$18,A24*H$18)</f>
        <v>6000</v>
      </c>
    </row>
    <row r="25" spans="1:8" x14ac:dyDescent="0.3">
      <c r="A25" s="3">
        <v>300000</v>
      </c>
      <c r="B25">
        <v>4</v>
      </c>
      <c r="C25">
        <f t="shared" si="0"/>
        <v>30000</v>
      </c>
      <c r="D25" s="3">
        <f t="shared" si="1"/>
        <v>330000</v>
      </c>
      <c r="E25" cm="1">
        <f t="array" ref="E25">_xlfn.IFS(B25=G$14,A25*H$14,B25=G$15,A25*H$15,B25=G$16,A25*H$16,B25=G$17,A25*H$17,B25=G$18,A25*H$18)</f>
        <v>30000</v>
      </c>
    </row>
    <row r="26" spans="1:8" x14ac:dyDescent="0.3">
      <c r="A26" s="3">
        <v>700000</v>
      </c>
      <c r="B26">
        <v>5</v>
      </c>
      <c r="C26">
        <f t="shared" si="0"/>
        <v>126000</v>
      </c>
      <c r="D26" s="3">
        <f t="shared" si="1"/>
        <v>826000</v>
      </c>
      <c r="E26" cm="1">
        <f t="array" ref="E26">_xlfn.IFS(B26=G$14,A26*H$14,B26=G$15,A26*H$15,B26=G$16,A26*H$16,B26=G$17,A26*H$17,B26=G$18,A26*H$18)</f>
        <v>126000</v>
      </c>
    </row>
    <row r="29" spans="1:8" x14ac:dyDescent="0.3">
      <c r="A29" s="6" t="s">
        <v>16</v>
      </c>
      <c r="B29" s="7" t="s">
        <v>15</v>
      </c>
    </row>
    <row r="30" spans="1:8" x14ac:dyDescent="0.3">
      <c r="A30" s="6" t="s">
        <v>7</v>
      </c>
      <c r="B30" s="6">
        <f>SUM(D2:D26)</f>
        <v>12790700</v>
      </c>
    </row>
    <row r="31" spans="1:8" x14ac:dyDescent="0.3">
      <c r="A31" s="6" t="s">
        <v>8</v>
      </c>
      <c r="B31" s="7">
        <f>AVERAGE(C2:C26)</f>
        <v>35445.833333333336</v>
      </c>
    </row>
    <row r="32" spans="1:8" x14ac:dyDescent="0.3">
      <c r="A32" s="6" t="s">
        <v>9</v>
      </c>
      <c r="B32" s="6">
        <f>AVERAGE(D2:D26)</f>
        <v>511628</v>
      </c>
    </row>
    <row r="33" spans="1:2" x14ac:dyDescent="0.3">
      <c r="A33" s="6" t="s">
        <v>10</v>
      </c>
      <c r="B33" s="7">
        <f>MIN(C2:C26)</f>
        <v>5000</v>
      </c>
    </row>
    <row r="34" spans="1:2" x14ac:dyDescent="0.3">
      <c r="A34" s="6" t="s">
        <v>11</v>
      </c>
      <c r="B34" s="6">
        <f>MIN(D2:D26)</f>
        <v>105000</v>
      </c>
    </row>
    <row r="35" spans="1:2" x14ac:dyDescent="0.3">
      <c r="A35" s="6" t="s">
        <v>12</v>
      </c>
      <c r="B35" s="7">
        <f>MAX(C2:C26)</f>
        <v>126000</v>
      </c>
    </row>
    <row r="36" spans="1:2" x14ac:dyDescent="0.3">
      <c r="A36" s="6" t="s">
        <v>13</v>
      </c>
      <c r="B36" s="6">
        <f>MAX(D2:D26)</f>
        <v>927000</v>
      </c>
    </row>
    <row r="37" spans="1:2" x14ac:dyDescent="0.3">
      <c r="A37" s="6" t="s">
        <v>14</v>
      </c>
      <c r="B37" s="6">
        <f>SUM(C2:C26)</f>
        <v>850700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AA3B-4792-463B-A041-F6D69C9F50F2}">
  <dimension ref="A1:G17"/>
  <sheetViews>
    <sheetView topLeftCell="A7" zoomScale="146" zoomScaleNormal="146" workbookViewId="0">
      <selection activeCell="J13" sqref="J13"/>
    </sheetView>
  </sheetViews>
  <sheetFormatPr defaultRowHeight="14.4" x14ac:dyDescent="0.3"/>
  <cols>
    <col min="1" max="1" width="19" customWidth="1"/>
    <col min="2" max="2" width="15" customWidth="1"/>
    <col min="3" max="3" width="12" customWidth="1"/>
  </cols>
  <sheetData>
    <row r="1" spans="1:7" x14ac:dyDescent="0.3">
      <c r="A1" s="8" t="s">
        <v>17</v>
      </c>
      <c r="B1" s="8" t="s">
        <v>33</v>
      </c>
      <c r="C1" s="8" t="s">
        <v>34</v>
      </c>
      <c r="D1" s="8" t="s">
        <v>26</v>
      </c>
      <c r="E1" s="8" t="s">
        <v>35</v>
      </c>
      <c r="F1" s="8" t="s">
        <v>36</v>
      </c>
      <c r="G1" s="8" t="s">
        <v>41</v>
      </c>
    </row>
    <row r="2" spans="1:7" x14ac:dyDescent="0.3">
      <c r="A2" t="s">
        <v>18</v>
      </c>
      <c r="B2" t="s">
        <v>26</v>
      </c>
      <c r="C2">
        <v>2023</v>
      </c>
      <c r="D2">
        <v>50000</v>
      </c>
      <c r="E2">
        <v>40000</v>
      </c>
      <c r="F2">
        <v>20</v>
      </c>
      <c r="G2" t="s">
        <v>29</v>
      </c>
    </row>
    <row r="3" spans="1:7" x14ac:dyDescent="0.3">
      <c r="A3" t="s">
        <v>19</v>
      </c>
      <c r="B3" t="s">
        <v>26</v>
      </c>
      <c r="C3">
        <v>2023</v>
      </c>
      <c r="D3">
        <v>35000</v>
      </c>
      <c r="E3">
        <v>40000</v>
      </c>
      <c r="F3">
        <v>15</v>
      </c>
      <c r="G3" t="s">
        <v>30</v>
      </c>
    </row>
    <row r="4" spans="1:7" x14ac:dyDescent="0.3">
      <c r="A4" t="s">
        <v>20</v>
      </c>
      <c r="B4" t="s">
        <v>27</v>
      </c>
      <c r="C4">
        <v>2023</v>
      </c>
      <c r="D4">
        <v>30000</v>
      </c>
      <c r="E4">
        <v>25000</v>
      </c>
      <c r="F4">
        <v>25</v>
      </c>
      <c r="G4" t="s">
        <v>29</v>
      </c>
    </row>
    <row r="5" spans="1:7" x14ac:dyDescent="0.3">
      <c r="A5" t="s">
        <v>21</v>
      </c>
      <c r="B5" t="s">
        <v>28</v>
      </c>
      <c r="C5">
        <v>2023</v>
      </c>
      <c r="D5">
        <v>20000</v>
      </c>
      <c r="E5">
        <v>15000</v>
      </c>
      <c r="F5">
        <v>10</v>
      </c>
      <c r="G5" t="s">
        <v>31</v>
      </c>
    </row>
    <row r="6" spans="1:7" x14ac:dyDescent="0.3">
      <c r="A6" t="s">
        <v>22</v>
      </c>
      <c r="B6" t="s">
        <v>27</v>
      </c>
      <c r="C6">
        <v>2024</v>
      </c>
      <c r="D6">
        <v>27000</v>
      </c>
      <c r="E6">
        <v>25000</v>
      </c>
      <c r="F6">
        <v>30</v>
      </c>
      <c r="G6" t="s">
        <v>32</v>
      </c>
    </row>
    <row r="7" spans="1:7" x14ac:dyDescent="0.3">
      <c r="A7" t="s">
        <v>23</v>
      </c>
      <c r="B7" t="s">
        <v>26</v>
      </c>
      <c r="C7">
        <v>2024</v>
      </c>
      <c r="D7">
        <v>40000</v>
      </c>
      <c r="E7">
        <v>35000</v>
      </c>
      <c r="F7">
        <v>18</v>
      </c>
      <c r="G7" t="s">
        <v>30</v>
      </c>
    </row>
    <row r="8" spans="1:7" x14ac:dyDescent="0.3">
      <c r="A8" t="s">
        <v>24</v>
      </c>
      <c r="B8" t="s">
        <v>28</v>
      </c>
      <c r="C8">
        <v>2024</v>
      </c>
      <c r="D8">
        <v>18000</v>
      </c>
      <c r="E8">
        <v>20000</v>
      </c>
      <c r="F8">
        <v>12</v>
      </c>
      <c r="G8" t="s">
        <v>31</v>
      </c>
    </row>
    <row r="9" spans="1:7" x14ac:dyDescent="0.3">
      <c r="A9" t="s">
        <v>25</v>
      </c>
      <c r="B9" t="s">
        <v>27</v>
      </c>
      <c r="C9">
        <v>2024</v>
      </c>
      <c r="D9">
        <v>32000</v>
      </c>
      <c r="E9">
        <v>30000</v>
      </c>
      <c r="F9">
        <v>28</v>
      </c>
      <c r="G9" t="s">
        <v>29</v>
      </c>
    </row>
    <row r="13" spans="1:7" x14ac:dyDescent="0.3">
      <c r="A13" t="s">
        <v>42</v>
      </c>
      <c r="B13" t="s">
        <v>43</v>
      </c>
    </row>
    <row r="14" spans="1:7" x14ac:dyDescent="0.3">
      <c r="A14" t="s">
        <v>37</v>
      </c>
      <c r="B14">
        <f>SUMIF(B2:B9,"it",D2:D9)</f>
        <v>89000</v>
      </c>
    </row>
    <row r="15" spans="1:7" x14ac:dyDescent="0.3">
      <c r="A15" t="s">
        <v>38</v>
      </c>
      <c r="B15">
        <f>_xlfn.MAXIFS(D2:D9,B2:B9,"IT")</f>
        <v>32000</v>
      </c>
    </row>
    <row r="16" spans="1:7" x14ac:dyDescent="0.3">
      <c r="A16" t="s">
        <v>39</v>
      </c>
      <c r="B16">
        <f>_xlfn.MAXIFS(C2:C9,G2:G9,"EAST")</f>
        <v>2024</v>
      </c>
    </row>
    <row r="17" spans="1:2" x14ac:dyDescent="0.3">
      <c r="A17" t="s">
        <v>40</v>
      </c>
      <c r="B17">
        <f>_xlfn.MAXIFS(D2:D9,G2:G9,"EAST")</f>
        <v>50000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kasasai tejareddy</dc:creator>
  <cp:lastModifiedBy>kasasai tejareddy</cp:lastModifiedBy>
  <dcterms:created xsi:type="dcterms:W3CDTF">2025-10-28T10:56:33Z</dcterms:created>
  <dcterms:modified xsi:type="dcterms:W3CDTF">2025-10-28T13:04:23Z</dcterms:modified>
</cp:coreProperties>
</file>